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denrochman/Library/Mobile Documents/com~apple~CloudDocs/Universidad de Valencia/faraday/avionica/"/>
    </mc:Choice>
  </mc:AlternateContent>
  <xr:revisionPtr revIDLastSave="0" documentId="11_127C967BA328DCABA6DEA159C714B26127DB4062" xr6:coauthVersionLast="47" xr6:coauthVersionMax="47" xr10:uidLastSave="{00000000-0000-0000-0000-000000000000}"/>
  <bookViews>
    <workbookView xWindow="0" yWindow="0" windowWidth="16380" windowHeight="8200" tabRatio="500" xr2:uid="{00000000-000D-0000-FFFF-FFFF00000000}"/>
  </bookViews>
  <sheets>
    <sheet name="Comparativa STM32" sheetId="1" r:id="rId1"/>
    <sheet name="Carga CPU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2" l="1"/>
  <c r="J17" i="2" s="1"/>
  <c r="E16" i="2"/>
  <c r="G16" i="2" s="1"/>
  <c r="E15" i="2"/>
  <c r="G15" i="2" s="1"/>
  <c r="E14" i="2"/>
  <c r="G14" i="2" s="1"/>
  <c r="J14" i="2" l="1"/>
  <c r="I14" i="2"/>
  <c r="H14" i="2"/>
  <c r="G18" i="2"/>
  <c r="J15" i="2"/>
  <c r="H15" i="2"/>
  <c r="I15" i="2"/>
  <c r="J16" i="2"/>
  <c r="I16" i="2"/>
  <c r="H16" i="2"/>
  <c r="H17" i="2"/>
  <c r="I17" i="2"/>
  <c r="I18" i="2" l="1"/>
  <c r="I19" i="2" s="1"/>
  <c r="H18" i="2"/>
  <c r="H19" i="2" s="1"/>
  <c r="J18" i="2"/>
  <c r="J19" i="2" s="1"/>
</calcChain>
</file>

<file path=xl/sharedStrings.xml><?xml version="1.0" encoding="utf-8"?>
<sst xmlns="http://schemas.openxmlformats.org/spreadsheetml/2006/main" count="83" uniqueCount="78">
  <si>
    <t>Comparativa de microcontroladores STM32 · Aviónica de vuelo</t>
  </si>
  <si>
    <t>Ejercicio 1a · Faraday Rocketry UPV</t>
  </si>
  <si>
    <t>Criterio</t>
  </si>
  <si>
    <t>STM32F405</t>
  </si>
  <si>
    <t>STM32F411</t>
  </si>
  <si>
    <t>STM32H743</t>
  </si>
  <si>
    <t>Potencia de cálculo</t>
  </si>
  <si>
    <t>Núcleo</t>
  </si>
  <si>
    <t>Cortex-M4F</t>
  </si>
  <si>
    <t>Cortex-M7</t>
  </si>
  <si>
    <t>Frecuencia máxima (MHz)</t>
  </si>
  <si>
    <t>FPU</t>
  </si>
  <si>
    <t>Sí, simple precisión</t>
  </si>
  <si>
    <t>Sí, doble precisión</t>
  </si>
  <si>
    <t>Memoria</t>
  </si>
  <si>
    <t>Flash (KB)</t>
  </si>
  <si>
    <t>RAM (KB)</t>
  </si>
  <si>
    <t>Periféricos</t>
  </si>
  <si>
    <t>SPI</t>
  </si>
  <si>
    <t>I²C</t>
  </si>
  <si>
    <t>UART/USART</t>
  </si>
  <si>
    <t>6 (4 USART + 2 UART)</t>
  </si>
  <si>
    <t>3</t>
  </si>
  <si>
    <t>9 (4 USART + 4 UART + 1 LPUART)</t>
  </si>
  <si>
    <t>CAN</t>
  </si>
  <si>
    <t>Sí (2)</t>
  </si>
  <si>
    <t>No</t>
  </si>
  <si>
    <t>Sí (2, CAN FD)</t>
  </si>
  <si>
    <t>Timers con PWM</t>
  </si>
  <si>
    <t>SDIO</t>
  </si>
  <si>
    <t>Sí (1)</t>
  </si>
  <si>
    <t>Consumo</t>
  </si>
  <si>
    <t>Consumo en Run, periféricos apagados</t>
  </si>
  <si>
    <t>238 µA/MHz (40 mA a 168 MHz)</t>
  </si>
  <si>
    <t>100 µA/MHz (~10 mA a 100 MHz)</t>
  </si>
  <si>
    <t>178 µA/MHz (71 mA a 400 MHz)</t>
  </si>
  <si>
    <t>Elección final</t>
  </si>
  <si>
    <t>Justificación</t>
  </si>
  <si>
    <t>Se selecciona el STM32F405 porque cubre todos los requisitos de la misión sin sobredimensionar el sistema:
• Periféricos: 3 SPI (IMU y memoria de registro), 3 I²C (barómetro, magnetómetro), 6 UART (GPS, radio de telemetría y depuración, con margen), 2 CAN para comunicarse con las placas de recuperación y aerofrenos, 12 timers con PWM para el servo de los aerofrenos y SDIO para registrar el vuelo en tarjeta SD.
• Potencia de cálculo: según la hoja «Carga CPU», el filtro de Kalman de altitud (1 kHz), un EKF de actitud (500 Hz) y el control de aerofrenos ocupan ≈28 % de la CPU, dejando más del 70 % libre. Su FPU de precisión simple es suficiente para estos cálculos.
• Memoria: 1 MB de flash y 192 KB de RAM, suficientes para el firmware con FreeRTOS y los buffers de registro.
Se descarta el STM32F411 por no disponer de CAN y tener solo 3 UART, sin margen de ampliación. Se descarta el STM32H743 por sobredimensionado: la misión usaría ≈10 % de su capacidad, a máxima frecuencia consume más (71 mA frente a 40 mA), lo que penaliza la autonomía en rampa, y su mayor complejidad (cachés, varios dominios de memoria y alimentación) dificulta el desarrollo y la depuración sin aportar una ventaja necesaria.</t>
  </si>
  <si>
    <t>Fuentes: datasheets de STMicroelectronics DS8626 Rev 12 (STM32F405), DS10314 Rev 8 (STM32F411) y DS12110 Rev 11 (STM32H743). Estimación de carga de CPU en la hoja «Carga CPU».</t>
  </si>
  <si>
    <t>Estimación de carga de CPU en vuelo · STM32F405</t>
  </si>
  <si>
    <t>Ejercicio 1a · Valores en azul: supuestos de la estimación · En negro: valores calculados</t>
  </si>
  <si>
    <t>Supuestos</t>
  </si>
  <si>
    <t>Ciclos de reloj por FLOP</t>
  </si>
  <si>
    <t>FPU del Cortex-M4: suma y multiplicación en 1 ciclo, división en 14 (ARM Cortex-M4 TRM). Se usa 5 para cubrir accesos a memoria y bucles: estimación conservadora.</t>
  </si>
  <si>
    <t>Reserva: sensores (DMA), registro, telemetría y FreeRTOS (ciclos/s)</t>
  </si>
  <si>
    <t>Estimación del trabajo que no es cálculo: atender interrupciones, copiar datos, formatear paquetes y cambios de tarea.</t>
  </si>
  <si>
    <t>Margen mínimo de CPU libre</t>
  </si>
  <si>
    <t>Regla habitual en tiempo real: no pasar del ~70 % de carga para absorber picos.</t>
  </si>
  <si>
    <t>Reloj STM32F411 (Hz)</t>
  </si>
  <si>
    <t>Datasheet DS10314</t>
  </si>
  <si>
    <t>Reloj STM32F405 (Hz)</t>
  </si>
  <si>
    <t>Datasheet DS8626</t>
  </si>
  <si>
    <t>Reloj STM32H743 (Hz)</t>
  </si>
  <si>
    <t>Datasheet DS12110 (mismos ciclos/FLOP: el M7 en realidad es más rápido por ciclo)</t>
  </si>
  <si>
    <t>Tareas de cálculo en vuelo</t>
  </si>
  <si>
    <t>Tarea</t>
  </si>
  <si>
    <t>n (estados)</t>
  </si>
  <si>
    <t>m (medidas)</t>
  </si>
  <si>
    <t>FLOPs extra</t>
  </si>
  <si>
    <t>FLOPs por ejecución</t>
  </si>
  <si>
    <t>Frecuencia (Hz)</t>
  </si>
  <si>
    <t>Ciclos/s</t>
  </si>
  <si>
    <t>% CPU F411</t>
  </si>
  <si>
    <t>% CPU F405</t>
  </si>
  <si>
    <t>% CPU H743</t>
  </si>
  <si>
    <t>Filtro de Kalman de altitud (altura, velocidad, aceleración; barómetro + acelerómetro)</t>
  </si>
  <si>
    <t>EKF de actitud (caso pesado, misión al espacio)</t>
  </si>
  <si>
    <t>Aerofrenos: predicción de apogeo + control PID</t>
  </si>
  <si>
    <t>Reserva (sensores, registro, telemetría, FreeRTOS)</t>
  </si>
  <si>
    <t>TOTAL</t>
  </si>
  <si>
    <t>¿Cumple con el margen mínimo de CPU libre?</t>
  </si>
  <si>
    <t>De dónde salen los FLOPs</t>
  </si>
  <si>
    <t>Coste de un filtro de Kalman con n estados y m medidas ≈ 6n³ + 6n²m + 4nm² + 2m³ FLOPs (suma de los productos de matrices de predicción, ganancia, inversa de S y actualización de la covarianza).</t>
  </si>
  <si>
    <t>Kalman de altitud: n = 3, m = 2 → 334 FLOPs + 20 para actualizar el estado ≈ 354.</t>
  </si>
  <si>
    <t>EKF de actitud: n = 9, m = 6 → ≈ 9.000 FLOPs + 1.000 del modelo no lineal (trigonometría, jacobianos). Se incluye como caso pesado para la futura misión al espacio.</t>
  </si>
  <si>
    <t>Aerofrenos: predicción de apogeo integrando la trayectoria hacia delante + PID ≈ 2.000 FLOPs a 100 Hz (el servo no responde más rápido).</t>
  </si>
  <si>
    <t>Es una estimación de orden de magnitud para dimensionar el microcontrolador; se validaría midiendo los ciclos reales en el chip (contador DWT-&gt;CYCCNT).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</si>
</sst>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1F3A5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1F3A5F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1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1" fontId="9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D1"/>
    </sheetView>
  </sheetViews>
  <sheetFormatPr baseColWidth="10" defaultColWidth="8.6640625" defaultRowHeight="15" x14ac:dyDescent="0.2"/>
  <cols>
    <col min="1" max="1" width="36" customWidth="1"/>
    <col min="2" max="4" width="24" customWidth="1"/>
  </cols>
  <sheetData>
    <row r="1" spans="1:4" ht="30" customHeight="1" x14ac:dyDescent="0.2">
      <c r="A1" s="11" t="s">
        <v>0</v>
      </c>
      <c r="B1" s="11"/>
      <c r="C1" s="11"/>
      <c r="D1" s="11"/>
    </row>
    <row r="2" spans="1:4" ht="15" customHeight="1" x14ac:dyDescent="0.2">
      <c r="A2" s="10" t="s">
        <v>1</v>
      </c>
      <c r="B2" s="10"/>
      <c r="C2" s="10"/>
      <c r="D2" s="10"/>
    </row>
    <row r="4" spans="1:4" ht="21.75" customHeight="1" x14ac:dyDescent="0.2">
      <c r="A4" s="12" t="s">
        <v>2</v>
      </c>
      <c r="B4" s="12" t="s">
        <v>3</v>
      </c>
      <c r="C4" s="12" t="s">
        <v>4</v>
      </c>
      <c r="D4" s="12" t="s">
        <v>5</v>
      </c>
    </row>
    <row r="5" spans="1:4" ht="15" customHeight="1" x14ac:dyDescent="0.2">
      <c r="A5" s="9" t="s">
        <v>6</v>
      </c>
      <c r="B5" s="9"/>
      <c r="C5" s="9"/>
      <c r="D5" s="9"/>
    </row>
    <row r="6" spans="1:4" ht="19.5" customHeight="1" x14ac:dyDescent="0.2">
      <c r="A6" s="13" t="s">
        <v>7</v>
      </c>
      <c r="B6" s="14" t="s">
        <v>8</v>
      </c>
      <c r="C6" s="15" t="s">
        <v>8</v>
      </c>
      <c r="D6" s="15" t="s">
        <v>9</v>
      </c>
    </row>
    <row r="7" spans="1:4" ht="19.5" customHeight="1" x14ac:dyDescent="0.2">
      <c r="A7" s="13" t="s">
        <v>10</v>
      </c>
      <c r="B7" s="14">
        <v>168</v>
      </c>
      <c r="C7" s="15">
        <v>100</v>
      </c>
      <c r="D7" s="15">
        <v>480</v>
      </c>
    </row>
    <row r="8" spans="1:4" ht="19.5" customHeight="1" x14ac:dyDescent="0.2">
      <c r="A8" s="13" t="s">
        <v>11</v>
      </c>
      <c r="B8" s="14" t="s">
        <v>12</v>
      </c>
      <c r="C8" s="15" t="s">
        <v>12</v>
      </c>
      <c r="D8" s="15" t="s">
        <v>13</v>
      </c>
    </row>
    <row r="9" spans="1:4" ht="15" customHeight="1" x14ac:dyDescent="0.2">
      <c r="A9" s="9" t="s">
        <v>14</v>
      </c>
      <c r="B9" s="9"/>
      <c r="C9" s="9"/>
      <c r="D9" s="9"/>
    </row>
    <row r="10" spans="1:4" ht="19.5" customHeight="1" x14ac:dyDescent="0.2">
      <c r="A10" s="13" t="s">
        <v>15</v>
      </c>
      <c r="B10" s="14">
        <v>1024</v>
      </c>
      <c r="C10" s="15">
        <v>512</v>
      </c>
      <c r="D10" s="15">
        <v>2048</v>
      </c>
    </row>
    <row r="11" spans="1:4" ht="19.5" customHeight="1" x14ac:dyDescent="0.2">
      <c r="A11" s="13" t="s">
        <v>16</v>
      </c>
      <c r="B11" s="14">
        <v>192</v>
      </c>
      <c r="C11" s="15">
        <v>128</v>
      </c>
      <c r="D11" s="15">
        <v>1056</v>
      </c>
    </row>
    <row r="12" spans="1:4" ht="15" customHeight="1" x14ac:dyDescent="0.2">
      <c r="A12" s="9" t="s">
        <v>17</v>
      </c>
      <c r="B12" s="9"/>
      <c r="C12" s="9"/>
      <c r="D12" s="9"/>
    </row>
    <row r="13" spans="1:4" ht="19.5" customHeight="1" x14ac:dyDescent="0.2">
      <c r="A13" s="13" t="s">
        <v>18</v>
      </c>
      <c r="B13" s="14">
        <v>3</v>
      </c>
      <c r="C13" s="15">
        <v>5</v>
      </c>
      <c r="D13" s="15">
        <v>6</v>
      </c>
    </row>
    <row r="14" spans="1:4" ht="19.5" customHeight="1" x14ac:dyDescent="0.2">
      <c r="A14" s="13" t="s">
        <v>19</v>
      </c>
      <c r="B14" s="14">
        <v>3</v>
      </c>
      <c r="C14" s="15">
        <v>3</v>
      </c>
      <c r="D14" s="15">
        <v>4</v>
      </c>
    </row>
    <row r="15" spans="1:4" ht="27.75" customHeight="1" x14ac:dyDescent="0.2">
      <c r="A15" s="13" t="s">
        <v>20</v>
      </c>
      <c r="B15" s="14" t="s">
        <v>21</v>
      </c>
      <c r="C15" s="15" t="s">
        <v>22</v>
      </c>
      <c r="D15" s="15" t="s">
        <v>23</v>
      </c>
    </row>
    <row r="16" spans="1:4" ht="19.5" customHeight="1" x14ac:dyDescent="0.2">
      <c r="A16" s="13" t="s">
        <v>24</v>
      </c>
      <c r="B16" s="14" t="s">
        <v>25</v>
      </c>
      <c r="C16" s="15" t="s">
        <v>26</v>
      </c>
      <c r="D16" s="15" t="s">
        <v>27</v>
      </c>
    </row>
    <row r="17" spans="1:4" ht="19.5" customHeight="1" x14ac:dyDescent="0.2">
      <c r="A17" s="13" t="s">
        <v>28</v>
      </c>
      <c r="B17" s="14">
        <v>12</v>
      </c>
      <c r="C17" s="15">
        <v>8</v>
      </c>
      <c r="D17" s="15">
        <v>12</v>
      </c>
    </row>
    <row r="18" spans="1:4" ht="19.5" customHeight="1" x14ac:dyDescent="0.2">
      <c r="A18" s="13" t="s">
        <v>29</v>
      </c>
      <c r="B18" s="14" t="s">
        <v>30</v>
      </c>
      <c r="C18" s="15" t="s">
        <v>30</v>
      </c>
      <c r="D18" s="15" t="s">
        <v>25</v>
      </c>
    </row>
    <row r="19" spans="1:4" ht="15" customHeight="1" x14ac:dyDescent="0.2">
      <c r="A19" s="9" t="s">
        <v>31</v>
      </c>
      <c r="B19" s="9"/>
      <c r="C19" s="9"/>
      <c r="D19" s="9"/>
    </row>
    <row r="20" spans="1:4" ht="27.75" customHeight="1" x14ac:dyDescent="0.2">
      <c r="A20" s="13" t="s">
        <v>32</v>
      </c>
      <c r="B20" s="14" t="s">
        <v>33</v>
      </c>
      <c r="C20" s="15" t="s">
        <v>34</v>
      </c>
      <c r="D20" s="15" t="s">
        <v>35</v>
      </c>
    </row>
    <row r="22" spans="1:4" ht="24" customHeight="1" x14ac:dyDescent="0.2">
      <c r="A22" s="16" t="s">
        <v>36</v>
      </c>
      <c r="B22" s="8" t="s">
        <v>3</v>
      </c>
      <c r="C22" s="8"/>
      <c r="D22" s="8"/>
    </row>
    <row r="23" spans="1:4" ht="259.5" customHeight="1" x14ac:dyDescent="0.2">
      <c r="A23" s="17" t="s">
        <v>37</v>
      </c>
      <c r="B23" s="7" t="s">
        <v>38</v>
      </c>
      <c r="C23" s="7"/>
      <c r="D23" s="7"/>
    </row>
    <row r="25" spans="1:4" ht="25.5" customHeight="1" x14ac:dyDescent="0.2">
      <c r="A25" s="6" t="s">
        <v>39</v>
      </c>
      <c r="B25" s="6"/>
      <c r="C25" s="6"/>
      <c r="D25" s="6"/>
    </row>
  </sheetData>
  <mergeCells count="9">
    <mergeCell ref="A19:D19"/>
    <mergeCell ref="B22:D22"/>
    <mergeCell ref="B23:D23"/>
    <mergeCell ref="A25:D25"/>
    <mergeCell ref="A1:D1"/>
    <mergeCell ref="A2:D2"/>
    <mergeCell ref="A5:D5"/>
    <mergeCell ref="A9:D9"/>
    <mergeCell ref="A12:D12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6"/>
  <sheetViews>
    <sheetView showGridLines="0" zoomScaleNormal="100" workbookViewId="0"/>
  </sheetViews>
  <sheetFormatPr baseColWidth="10" defaultColWidth="8.6640625" defaultRowHeight="15" x14ac:dyDescent="0.2"/>
  <cols>
    <col min="1" max="1" width="46" customWidth="1"/>
    <col min="2" max="4" width="12" customWidth="1"/>
    <col min="5" max="5" width="14" customWidth="1"/>
    <col min="6" max="6" width="13" customWidth="1"/>
    <col min="7" max="7" width="15" customWidth="1"/>
    <col min="8" max="10" width="12" customWidth="1"/>
  </cols>
  <sheetData>
    <row r="1" spans="1:10" ht="30" customHeight="1" x14ac:dyDescent="0.2">
      <c r="A1" s="5" t="s">
        <v>40</v>
      </c>
      <c r="B1" s="5"/>
      <c r="C1" s="5"/>
      <c r="D1" s="5"/>
      <c r="E1" s="5"/>
      <c r="F1" s="5"/>
      <c r="G1" s="5"/>
      <c r="H1" s="5"/>
      <c r="I1" s="5"/>
      <c r="J1" s="5"/>
    </row>
    <row r="2" spans="1:10" ht="15" customHeight="1" x14ac:dyDescent="0.2">
      <c r="A2" s="4" t="s">
        <v>41</v>
      </c>
      <c r="B2" s="4"/>
      <c r="C2" s="4"/>
      <c r="D2" s="4"/>
      <c r="E2" s="4"/>
      <c r="F2" s="4"/>
      <c r="G2" s="4"/>
      <c r="H2" s="4"/>
      <c r="I2" s="4"/>
      <c r="J2" s="4"/>
    </row>
    <row r="4" spans="1:10" ht="15" customHeight="1" x14ac:dyDescent="0.2">
      <c r="A4" s="3" t="s">
        <v>42</v>
      </c>
      <c r="B4" s="3"/>
      <c r="C4" s="3"/>
      <c r="D4" s="3"/>
      <c r="E4" s="3"/>
      <c r="F4" s="3"/>
      <c r="G4" s="3"/>
      <c r="H4" s="3"/>
      <c r="I4" s="3"/>
      <c r="J4" s="3"/>
    </row>
    <row r="5" spans="1:10" ht="27.75" customHeight="1" x14ac:dyDescent="0.2">
      <c r="A5" s="18" t="s">
        <v>43</v>
      </c>
      <c r="B5" s="19">
        <v>5</v>
      </c>
      <c r="C5" s="2" t="s">
        <v>44</v>
      </c>
      <c r="D5" s="2"/>
      <c r="E5" s="2"/>
      <c r="F5" s="2"/>
      <c r="G5" s="2"/>
      <c r="H5" s="2"/>
      <c r="I5" s="2"/>
      <c r="J5" s="2"/>
    </row>
    <row r="6" spans="1:10" ht="27.75" customHeight="1" x14ac:dyDescent="0.2">
      <c r="A6" s="18" t="s">
        <v>45</v>
      </c>
      <c r="B6" s="20">
        <v>20000000</v>
      </c>
      <c r="C6" s="2" t="s">
        <v>46</v>
      </c>
      <c r="D6" s="2"/>
      <c r="E6" s="2"/>
      <c r="F6" s="2"/>
      <c r="G6" s="2"/>
      <c r="H6" s="2"/>
      <c r="I6" s="2"/>
      <c r="J6" s="2"/>
    </row>
    <row r="7" spans="1:10" ht="27.75" customHeight="1" x14ac:dyDescent="0.2">
      <c r="A7" s="18" t="s">
        <v>47</v>
      </c>
      <c r="B7" s="21">
        <v>0.3</v>
      </c>
      <c r="C7" s="2" t="s">
        <v>48</v>
      </c>
      <c r="D7" s="2"/>
      <c r="E7" s="2"/>
      <c r="F7" s="2"/>
      <c r="G7" s="2"/>
      <c r="H7" s="2"/>
      <c r="I7" s="2"/>
      <c r="J7" s="2"/>
    </row>
    <row r="8" spans="1:10" ht="27.75" customHeight="1" x14ac:dyDescent="0.2">
      <c r="A8" s="18" t="s">
        <v>49</v>
      </c>
      <c r="B8" s="20">
        <v>100000000</v>
      </c>
      <c r="C8" s="2" t="s">
        <v>50</v>
      </c>
      <c r="D8" s="2"/>
      <c r="E8" s="2"/>
      <c r="F8" s="2"/>
      <c r="G8" s="2"/>
      <c r="H8" s="2"/>
      <c r="I8" s="2"/>
      <c r="J8" s="2"/>
    </row>
    <row r="9" spans="1:10" ht="27.75" customHeight="1" x14ac:dyDescent="0.2">
      <c r="A9" s="18" t="s">
        <v>51</v>
      </c>
      <c r="B9" s="20">
        <v>168000000</v>
      </c>
      <c r="C9" s="2" t="s">
        <v>52</v>
      </c>
      <c r="D9" s="2"/>
      <c r="E9" s="2"/>
      <c r="F9" s="2"/>
      <c r="G9" s="2"/>
      <c r="H9" s="2"/>
      <c r="I9" s="2"/>
      <c r="J9" s="2"/>
    </row>
    <row r="10" spans="1:10" ht="27.75" customHeight="1" x14ac:dyDescent="0.2">
      <c r="A10" s="18" t="s">
        <v>53</v>
      </c>
      <c r="B10" s="20">
        <v>480000000</v>
      </c>
      <c r="C10" s="2" t="s">
        <v>54</v>
      </c>
      <c r="D10" s="2"/>
      <c r="E10" s="2"/>
      <c r="F10" s="2"/>
      <c r="G10" s="2"/>
      <c r="H10" s="2"/>
      <c r="I10" s="2"/>
      <c r="J10" s="2"/>
    </row>
    <row r="12" spans="1:10" ht="15" customHeight="1" x14ac:dyDescent="0.2">
      <c r="A12" s="3" t="s">
        <v>55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ht="31.5" customHeight="1" x14ac:dyDescent="0.2">
      <c r="A13" s="22" t="s">
        <v>56</v>
      </c>
      <c r="B13" s="22" t="s">
        <v>57</v>
      </c>
      <c r="C13" s="22" t="s">
        <v>58</v>
      </c>
      <c r="D13" s="22" t="s">
        <v>59</v>
      </c>
      <c r="E13" s="22" t="s">
        <v>60</v>
      </c>
      <c r="F13" s="22" t="s">
        <v>61</v>
      </c>
      <c r="G13" s="22" t="s">
        <v>62</v>
      </c>
      <c r="H13" s="22" t="s">
        <v>63</v>
      </c>
      <c r="I13" s="22" t="s">
        <v>64</v>
      </c>
      <c r="J13" s="22" t="s">
        <v>65</v>
      </c>
    </row>
    <row r="14" spans="1:10" ht="30" customHeight="1" x14ac:dyDescent="0.2">
      <c r="A14" s="18" t="s">
        <v>66</v>
      </c>
      <c r="B14" s="23">
        <v>3</v>
      </c>
      <c r="C14" s="23">
        <v>2</v>
      </c>
      <c r="D14" s="20">
        <v>20</v>
      </c>
      <c r="E14" s="24">
        <f>IF(B14="",0,6*B14^3+6*B14^2*C14+4*B14*C14^2+2*C14^3)+D14</f>
        <v>354</v>
      </c>
      <c r="F14" s="20">
        <v>1000</v>
      </c>
      <c r="G14" s="24">
        <f>E14*F14*$B$5</f>
        <v>1770000</v>
      </c>
      <c r="H14" s="25">
        <f>$G14/$B$8</f>
        <v>1.77E-2</v>
      </c>
      <c r="I14" s="25">
        <f>$G14/$B$9</f>
        <v>1.0535714285714285E-2</v>
      </c>
      <c r="J14" s="25">
        <f>$G14/$B$10</f>
        <v>3.6874999999999998E-3</v>
      </c>
    </row>
    <row r="15" spans="1:10" ht="30" customHeight="1" x14ac:dyDescent="0.2">
      <c r="A15" s="18" t="s">
        <v>67</v>
      </c>
      <c r="B15" s="23">
        <v>9</v>
      </c>
      <c r="C15" s="23">
        <v>6</v>
      </c>
      <c r="D15" s="20">
        <v>1000</v>
      </c>
      <c r="E15" s="24">
        <f>IF(B15="",0,6*B15^3+6*B15^2*C15+4*B15*C15^2+2*C15^3)+D15</f>
        <v>10018</v>
      </c>
      <c r="F15" s="20">
        <v>500</v>
      </c>
      <c r="G15" s="24">
        <f>E15*F15*$B$5</f>
        <v>25045000</v>
      </c>
      <c r="H15" s="25">
        <f>$G15/$B$8</f>
        <v>0.25045000000000001</v>
      </c>
      <c r="I15" s="25">
        <f>$G15/$B$9</f>
        <v>0.14907738095238096</v>
      </c>
      <c r="J15" s="25">
        <f>$G15/$B$10</f>
        <v>5.2177083333333332E-2</v>
      </c>
    </row>
    <row r="16" spans="1:10" ht="30" customHeight="1" x14ac:dyDescent="0.2">
      <c r="A16" s="18" t="s">
        <v>68</v>
      </c>
      <c r="B16" s="23"/>
      <c r="C16" s="23"/>
      <c r="D16" s="20">
        <v>2000</v>
      </c>
      <c r="E16" s="24">
        <f>IF(B16="",0,6*B16^3+6*B16^2*C16+4*B16*C16^2+2*C16^3)+D16</f>
        <v>2000</v>
      </c>
      <c r="F16" s="20">
        <v>100</v>
      </c>
      <c r="G16" s="24">
        <f>E16*F16*$B$5</f>
        <v>1000000</v>
      </c>
      <c r="H16" s="25">
        <f>$G16/$B$8</f>
        <v>0.01</v>
      </c>
      <c r="I16" s="25">
        <f>$G16/$B$9</f>
        <v>5.9523809523809521E-3</v>
      </c>
      <c r="J16" s="25">
        <f>$G16/$B$10</f>
        <v>2.0833333333333333E-3</v>
      </c>
    </row>
    <row r="17" spans="1:10" x14ac:dyDescent="0.2">
      <c r="A17" s="18" t="s">
        <v>69</v>
      </c>
      <c r="B17" s="15"/>
      <c r="C17" s="15"/>
      <c r="D17" s="15"/>
      <c r="E17" s="15"/>
      <c r="F17" s="15"/>
      <c r="G17" s="24">
        <f>$B$6</f>
        <v>20000000</v>
      </c>
      <c r="H17" s="25">
        <f>$G17/$B$8</f>
        <v>0.2</v>
      </c>
      <c r="I17" s="25">
        <f>$G17/$B$9</f>
        <v>0.11904761904761904</v>
      </c>
      <c r="J17" s="25">
        <f>$G17/$B$10</f>
        <v>4.1666666666666664E-2</v>
      </c>
    </row>
    <row r="18" spans="1:10" x14ac:dyDescent="0.2">
      <c r="A18" s="26" t="s">
        <v>70</v>
      </c>
      <c r="B18" s="27"/>
      <c r="C18" s="27"/>
      <c r="D18" s="27"/>
      <c r="E18" s="27"/>
      <c r="F18" s="27"/>
      <c r="G18" s="28">
        <f>SUM(G14:G17)</f>
        <v>47815000</v>
      </c>
      <c r="H18" s="29">
        <f>SUM(H14:H17)</f>
        <v>0.47815000000000002</v>
      </c>
      <c r="I18" s="29">
        <f>SUM(I14:I17)</f>
        <v>0.28461309523809525</v>
      </c>
      <c r="J18" s="29">
        <f>SUM(J14:J17)</f>
        <v>9.9614583333333326E-2</v>
      </c>
    </row>
    <row r="19" spans="1:10" x14ac:dyDescent="0.2">
      <c r="A19" s="30" t="s">
        <v>71</v>
      </c>
      <c r="B19" s="18"/>
      <c r="C19" s="18"/>
      <c r="D19" s="18"/>
      <c r="E19" s="18"/>
      <c r="F19" s="18"/>
      <c r="G19" s="18"/>
      <c r="H19" s="14" t="str">
        <f>IF(H18&lt;=1-$B$7,"Sí","No")</f>
        <v>Sí</v>
      </c>
      <c r="I19" s="14" t="str">
        <f>IF(I18&lt;=1-$B$7,"Sí","No")</f>
        <v>Sí</v>
      </c>
      <c r="J19" s="14" t="str">
        <f>IF(J18&lt;=1-$B$7,"Sí","No")</f>
        <v>Sí</v>
      </c>
    </row>
    <row r="21" spans="1:10" ht="15" customHeight="1" x14ac:dyDescent="0.2">
      <c r="A21" s="3" t="s">
        <v>72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ht="27.75" customHeight="1" x14ac:dyDescent="0.2">
      <c r="A22" s="1" t="s">
        <v>73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27.75" customHeight="1" x14ac:dyDescent="0.2">
      <c r="A23" s="1" t="s">
        <v>74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7.75" customHeight="1" x14ac:dyDescent="0.2">
      <c r="A24" s="1" t="s">
        <v>75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7.75" customHeight="1" x14ac:dyDescent="0.2">
      <c r="A25" s="1" t="s">
        <v>76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7.75" customHeight="1" x14ac:dyDescent="0.2">
      <c r="A26" s="1" t="s">
        <v>77</v>
      </c>
      <c r="B26" s="1"/>
      <c r="C26" s="1"/>
      <c r="D26" s="1"/>
      <c r="E26" s="1"/>
      <c r="F26" s="1"/>
      <c r="G26" s="1"/>
      <c r="H26" s="1"/>
      <c r="I26" s="1"/>
      <c r="J26" s="1"/>
    </row>
  </sheetData>
  <mergeCells count="16">
    <mergeCell ref="A26:J26"/>
    <mergeCell ref="A21:J21"/>
    <mergeCell ref="A22:J22"/>
    <mergeCell ref="A23:J23"/>
    <mergeCell ref="A24:J24"/>
    <mergeCell ref="A25:J25"/>
    <mergeCell ref="C7:J7"/>
    <mergeCell ref="C8:J8"/>
    <mergeCell ref="C9:J9"/>
    <mergeCell ref="C10:J10"/>
    <mergeCell ref="A12:J12"/>
    <mergeCell ref="A1:J1"/>
    <mergeCell ref="A2:J2"/>
    <mergeCell ref="A4:J4"/>
    <mergeCell ref="C5:J5"/>
    <mergeCell ref="C6:J6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Comparativa STM32</vt:lpstr>
      <vt:lpstr>Carga 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Comparativa de microcontroladores STM32</dc:title>
  <dc:subject/>
  <dc:creator>Eden Rochman Sharabi</dc:creator>
  <dc:description/>
  <cp:lastModifiedBy>Eden Rochman Sharabi</cp:lastModifiedBy>
  <cp:revision>0</cp:revision>
  <dcterms:created xsi:type="dcterms:W3CDTF">2026-10-08T11:15:46Z</dcterms:created>
  <dcterms:modified xsi:type="dcterms:W3CDTF">2026-10-11T17:39:29Z</dcterms:modified>
  <dc:language>en-US</dc:language>
</cp:coreProperties>
</file>